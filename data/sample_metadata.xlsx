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ujashrestha/Desktop/"/>
    </mc:Choice>
  </mc:AlternateContent>
  <xr:revisionPtr revIDLastSave="0" documentId="13_ncr:1_{4631FC5D-54E8-AF4E-940C-4F9FCE4AA5B5}" xr6:coauthVersionLast="47" xr6:coauthVersionMax="47" xr10:uidLastSave="{00000000-0000-0000-0000-000000000000}"/>
  <bookViews>
    <workbookView xWindow="0" yWindow="740" windowWidth="28720" windowHeight="17040" xr2:uid="{53C5BB3F-17C1-6049-B61D-EE1A3BA39F8A}"/>
  </bookViews>
  <sheets>
    <sheet name="METADATA_Anuja CAGE Experi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K13" i="1" s="1"/>
  <c r="J24" i="1"/>
  <c r="K24" i="1"/>
  <c r="J27" i="1"/>
  <c r="K27" i="1"/>
  <c r="J28" i="1"/>
  <c r="K28" i="1"/>
  <c r="J29" i="1"/>
  <c r="K29" i="1" s="1"/>
  <c r="J30" i="1"/>
  <c r="K30" i="1"/>
  <c r="J31" i="1"/>
  <c r="K31" i="1"/>
  <c r="J35" i="1"/>
  <c r="K35" i="1"/>
  <c r="J38" i="1"/>
  <c r="K38" i="1" s="1"/>
  <c r="J39" i="1"/>
  <c r="K39" i="1"/>
  <c r="J41" i="1"/>
  <c r="K41" i="1"/>
  <c r="J43" i="1"/>
  <c r="K43" i="1"/>
  <c r="J44" i="1"/>
  <c r="K44" i="1" s="1"/>
  <c r="J45" i="1"/>
  <c r="K45" i="1"/>
  <c r="J46" i="1"/>
  <c r="K46" i="1"/>
  <c r="J49" i="1"/>
  <c r="K49" i="1"/>
</calcChain>
</file>

<file path=xl/sharedStrings.xml><?xml version="1.0" encoding="utf-8"?>
<sst xmlns="http://schemas.openxmlformats.org/spreadsheetml/2006/main" count="239" uniqueCount="85">
  <si>
    <r>
      <rPr>
        <b/>
        <sz val="12"/>
        <color rgb="FFC00000"/>
        <rFont val="Aptos Narrow (Body)"/>
      </rPr>
      <t>Final Concentration needed</t>
    </r>
    <r>
      <rPr>
        <sz val="12"/>
        <color theme="1"/>
        <rFont val="Aptos Narrow"/>
        <family val="2"/>
        <scheme val="minor"/>
      </rPr>
      <t xml:space="preserve"> = 10 ng/uL</t>
    </r>
  </si>
  <si>
    <t>c1v1=c2v2</t>
  </si>
  <si>
    <t>C2</t>
  </si>
  <si>
    <t>ng/uL</t>
  </si>
  <si>
    <r>
      <rPr>
        <b/>
        <sz val="12"/>
        <color rgb="FFC00000"/>
        <rFont val="Aptos Narrow (Body)"/>
      </rPr>
      <t>Final Volume needed</t>
    </r>
    <r>
      <rPr>
        <sz val="12"/>
        <color theme="1"/>
        <rFont val="Aptos Narrow"/>
        <family val="2"/>
        <scheme val="minor"/>
      </rPr>
      <t xml:space="preserve"> = 10 uL</t>
    </r>
    <r>
      <rPr>
        <sz val="12"/>
        <color rgb="FFC00000"/>
        <rFont val="Aptos Narrow (Body)"/>
      </rPr>
      <t xml:space="preserve"> </t>
    </r>
    <r>
      <rPr>
        <b/>
        <sz val="12"/>
        <color theme="1"/>
        <rFont val="Aptos Narrow (Body)"/>
      </rPr>
      <t xml:space="preserve">(will send </t>
    </r>
    <r>
      <rPr>
        <b/>
        <sz val="12"/>
        <color rgb="FFC00000"/>
        <rFont val="Aptos Narrow (Body)"/>
      </rPr>
      <t>= 15 uL</t>
    </r>
    <r>
      <rPr>
        <b/>
        <sz val="12"/>
        <color theme="1"/>
        <rFont val="Aptos Narrow (Body)"/>
      </rPr>
      <t>)</t>
    </r>
  </si>
  <si>
    <t>V2</t>
  </si>
  <si>
    <t>uL</t>
  </si>
  <si>
    <t>Initial concentration C1</t>
  </si>
  <si>
    <t>Initial volume V1</t>
  </si>
  <si>
    <t>Date of sample collection</t>
  </si>
  <si>
    <t>Tube Name</t>
  </si>
  <si>
    <t>Treatments</t>
  </si>
  <si>
    <t>SAMPLE Tube ID</t>
  </si>
  <si>
    <t>Total bee guts extracted</t>
  </si>
  <si>
    <t>DNA extracted Date</t>
  </si>
  <si>
    <t>Final Elution volume</t>
  </si>
  <si>
    <t>DNA concentration (ng/uL) Qubit</t>
  </si>
  <si>
    <t>Amount to send to Plasmidsarus (in uL)</t>
  </si>
  <si>
    <t>DNA needed</t>
  </si>
  <si>
    <t>Add water</t>
  </si>
  <si>
    <t>Total volume needed</t>
  </si>
  <si>
    <t>Day-0 (Rep-1)</t>
  </si>
  <si>
    <t>For baseline data</t>
  </si>
  <si>
    <t>40 uL</t>
  </si>
  <si>
    <t>low</t>
  </si>
  <si>
    <t>Day-0 (Rep-2)</t>
  </si>
  <si>
    <t>Day-0 (Rep-3)</t>
  </si>
  <si>
    <t>Day-5 (Cage-1)</t>
  </si>
  <si>
    <t xml:space="preserve">Control </t>
  </si>
  <si>
    <t>Day-5 (Cage-2)</t>
  </si>
  <si>
    <t>Day-5 (Cage-3)</t>
  </si>
  <si>
    <t>Day-5 (Cage-4)</t>
  </si>
  <si>
    <t>Tetracycline-treated</t>
  </si>
  <si>
    <t>Day-5 (Cage-5)</t>
  </si>
  <si>
    <t>Day-5 (Cage-6)</t>
  </si>
  <si>
    <t>xx</t>
  </si>
  <si>
    <t>Day-5 (Cage-7)</t>
  </si>
  <si>
    <t>Terra-Pro-treated</t>
  </si>
  <si>
    <t>Day-5 (Cage-8)</t>
  </si>
  <si>
    <t>Day-5 (Cage-9)</t>
  </si>
  <si>
    <t>Day-5 (Cage-10)</t>
  </si>
  <si>
    <t>ASx-lysate-treated</t>
  </si>
  <si>
    <t>Day-5 (Cage-11)</t>
  </si>
  <si>
    <t>Day-5 (Cage-12)</t>
  </si>
  <si>
    <t>Day-11 (Cage-1)</t>
  </si>
  <si>
    <t>Day-11 (Cage-2)</t>
  </si>
  <si>
    <t>Day-11 (Cage-3)</t>
  </si>
  <si>
    <t>Day-11 (Cage-4)</t>
  </si>
  <si>
    <t>Day-11 (Cage-5)</t>
  </si>
  <si>
    <t>Day-11 (Cage-6)</t>
  </si>
  <si>
    <t>Day-11 (Cage-7)</t>
  </si>
  <si>
    <t>Day-11 (Cage-8)</t>
  </si>
  <si>
    <t>Day-11 (Cage-9)</t>
  </si>
  <si>
    <t>Day-11 (Cage-10)</t>
  </si>
  <si>
    <t>Day-11 (Cage-11)</t>
  </si>
  <si>
    <t>Day-11 (Cage-12)</t>
  </si>
  <si>
    <t>Day-17 (Cage-1)</t>
  </si>
  <si>
    <t>Day-17 (Cage-2)</t>
  </si>
  <si>
    <t>No sample</t>
  </si>
  <si>
    <t>No Sample</t>
  </si>
  <si>
    <t>Day-17 (Cage-3)</t>
  </si>
  <si>
    <t>Day-17 (Cage-4)</t>
  </si>
  <si>
    <t>Day-17 (Cage-5)</t>
  </si>
  <si>
    <t>Day-17 (Cage-6)</t>
  </si>
  <si>
    <t>Day-17 (Cage-7)</t>
  </si>
  <si>
    <t>Day-17 (Cage-8)</t>
  </si>
  <si>
    <t>Day-17 (Cage-9)</t>
  </si>
  <si>
    <t>Day-17 (Cage-10)</t>
  </si>
  <si>
    <t>Day-17 (Cage-11)</t>
  </si>
  <si>
    <t>Day-17 (Cage-12)</t>
  </si>
  <si>
    <t>Day-0_Marked bees left at Apiary (Rep-1)</t>
  </si>
  <si>
    <t>Day-0_Marked bees left at Apiary (Rep-2)</t>
  </si>
  <si>
    <t>Day-0_Marked bees left at Apiary (Rep-3)</t>
  </si>
  <si>
    <t>Comb samples used in the cages (Rep-1)</t>
  </si>
  <si>
    <t>Microbiome in the comb samples</t>
  </si>
  <si>
    <t>Pull from all cages</t>
  </si>
  <si>
    <t>Comb samples used in the cages (Rep-2)</t>
  </si>
  <si>
    <t>Comb samples used in the cages (Rep-3)</t>
  </si>
  <si>
    <t>Bees collected (Apiary Bees)</t>
  </si>
  <si>
    <t>for practice for DNA extraction</t>
  </si>
  <si>
    <t>55 uL</t>
  </si>
  <si>
    <t>Test</t>
  </si>
  <si>
    <t>Sent for Sequencing on 13 Nov 2025</t>
  </si>
  <si>
    <t>SENT</t>
  </si>
  <si>
    <t>Sent on 18 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</si>
</sst>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6"/>
      <color theme="1"/>
      <name val="Aptos Narrow"/>
      <scheme val="minor"/>
    </font>
    <font>
      <b/>
      <sz val="12"/>
      <color rgb="FFC00000"/>
      <name val="Aptos Narrow (Body)"/>
    </font>
    <font>
      <b/>
      <sz val="12"/>
      <color theme="1"/>
      <name val="Aptos Narrow"/>
      <scheme val="minor"/>
    </font>
    <font>
      <b/>
      <sz val="12"/>
      <color rgb="FFC00000"/>
      <name val="Aptos Narrow"/>
      <scheme val="minor"/>
    </font>
    <font>
      <sz val="12"/>
      <color rgb="FFC00000"/>
      <name val="Aptos Narrow (Body)"/>
    </font>
    <font>
      <b/>
      <sz val="12"/>
      <color theme="1"/>
      <name val="Aptos Narrow (Body)"/>
    </font>
    <font>
      <b/>
      <sz val="16"/>
      <color theme="1"/>
      <name val="Aptos Narrow"/>
      <scheme val="minor"/>
    </font>
    <font>
      <sz val="12"/>
      <color rgb="FFFF0000"/>
      <name val="Aptos Narrow"/>
      <scheme val="minor"/>
    </font>
    <font>
      <b/>
      <sz val="16"/>
      <color rgb="FFFF0000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5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15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5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7" fillId="6" borderId="1" xfId="0" applyFont="1" applyFill="1" applyBorder="1" applyAlignment="1">
      <alignment horizontal="center"/>
    </xf>
    <xf numFmtId="15" fontId="8" fillId="7" borderId="1" xfId="0" applyNumberFormat="1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8" fillId="7" borderId="1" xfId="0" applyFont="1" applyFill="1" applyBorder="1"/>
    <xf numFmtId="0" fontId="0" fillId="7" borderId="1" xfId="0" applyFill="1" applyBorder="1"/>
    <xf numFmtId="0" fontId="3" fillId="7" borderId="1" xfId="0" applyFont="1" applyFill="1" applyBorder="1" applyAlignment="1">
      <alignment horizontal="center"/>
    </xf>
    <xf numFmtId="0" fontId="0" fillId="0" borderId="1" xfId="0" applyBorder="1"/>
    <xf numFmtId="0" fontId="7" fillId="0" borderId="1" xfId="0" applyFont="1" applyBorder="1" applyAlignment="1">
      <alignment horizontal="center"/>
    </xf>
    <xf numFmtId="15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5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0" fillId="3" borderId="1" xfId="0" applyFill="1" applyBorder="1"/>
    <xf numFmtId="0" fontId="7" fillId="3" borderId="1" xfId="0" applyFont="1" applyFill="1" applyBorder="1" applyAlignment="1">
      <alignment horizontal="center"/>
    </xf>
    <xf numFmtId="0" fontId="0" fillId="4" borderId="1" xfId="0" applyFill="1" applyBorder="1"/>
    <xf numFmtId="0" fontId="7" fillId="4" borderId="1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EA24B-9605-6142-AF97-16B5A6299380}">
  <dimension ref="A1:O63"/>
  <sheetViews>
    <sheetView tabSelected="1" workbookViewId="0">
      <pane xSplit="4" ySplit="4" topLeftCell="J5" activePane="bottomRight" state="frozen"/>
      <selection pane="topRight" activeCell="E1" sqref="E1"/>
      <selection pane="bottomLeft" activeCell="A5" sqref="A5"/>
      <selection pane="bottomRight" activeCell="Q9" sqref="Q9"/>
    </sheetView>
  </sheetViews>
  <sheetFormatPr baseColWidth="10" defaultRowHeight="22" x14ac:dyDescent="0.3"/>
  <cols>
    <col min="1" max="1" width="24.1640625" style="24" customWidth="1"/>
    <col min="2" max="2" width="36.6640625" style="24" customWidth="1"/>
    <col min="3" max="3" width="28" bestFit="1" customWidth="1"/>
    <col min="4" max="4" width="19.33203125" style="25" bestFit="1" customWidth="1"/>
    <col min="5" max="5" width="20.83203125" style="24" bestFit="1" customWidth="1"/>
    <col min="6" max="6" width="21" customWidth="1"/>
    <col min="7" max="7" width="17.6640625" style="24" bestFit="1" customWidth="1"/>
    <col min="8" max="8" width="28.5" style="24" bestFit="1" customWidth="1"/>
    <col min="9" max="9" width="39.33203125" style="24" bestFit="1" customWidth="1"/>
    <col min="10" max="10" width="15" customWidth="1"/>
    <col min="11" max="11" width="9.5" customWidth="1"/>
    <col min="12" max="12" width="17.83203125" customWidth="1"/>
    <col min="14" max="14" width="10.83203125" style="27"/>
  </cols>
  <sheetData>
    <row r="1" spans="1:15" x14ac:dyDescent="0.3">
      <c r="I1" s="26" t="s">
        <v>0</v>
      </c>
      <c r="J1" s="27" t="s">
        <v>1</v>
      </c>
      <c r="K1" s="28" t="s">
        <v>2</v>
      </c>
      <c r="L1" s="29">
        <v>10</v>
      </c>
      <c r="M1" t="s">
        <v>3</v>
      </c>
    </row>
    <row r="2" spans="1:15" x14ac:dyDescent="0.3">
      <c r="I2" s="26" t="s">
        <v>4</v>
      </c>
      <c r="K2" s="28" t="s">
        <v>5</v>
      </c>
      <c r="L2" s="29">
        <v>15</v>
      </c>
      <c r="M2" t="s">
        <v>6</v>
      </c>
    </row>
    <row r="3" spans="1:15" x14ac:dyDescent="0.3">
      <c r="H3" s="29" t="s">
        <v>7</v>
      </c>
      <c r="J3" s="29" t="s">
        <v>8</v>
      </c>
    </row>
    <row r="4" spans="1:15" s="27" customFormat="1" x14ac:dyDescent="0.3">
      <c r="A4" s="33" t="s">
        <v>9</v>
      </c>
      <c r="B4" s="33" t="s">
        <v>10</v>
      </c>
      <c r="C4" s="34" t="s">
        <v>11</v>
      </c>
      <c r="D4" s="35" t="s">
        <v>12</v>
      </c>
      <c r="E4" s="33" t="s">
        <v>13</v>
      </c>
      <c r="F4" s="36" t="s">
        <v>14</v>
      </c>
      <c r="G4" s="1" t="s">
        <v>15</v>
      </c>
      <c r="H4" s="1" t="s">
        <v>16</v>
      </c>
      <c r="I4" s="1" t="s">
        <v>17</v>
      </c>
      <c r="J4" s="36" t="s">
        <v>18</v>
      </c>
      <c r="K4" s="37" t="s">
        <v>19</v>
      </c>
      <c r="L4" s="36" t="s">
        <v>20</v>
      </c>
      <c r="M4" s="36"/>
      <c r="N4" s="36" t="s">
        <v>82</v>
      </c>
      <c r="O4" s="27" t="s">
        <v>84</v>
      </c>
    </row>
    <row r="5" spans="1:15" x14ac:dyDescent="0.3">
      <c r="A5" s="3">
        <v>45926</v>
      </c>
      <c r="B5" s="4" t="s">
        <v>21</v>
      </c>
      <c r="C5" s="38" t="s">
        <v>22</v>
      </c>
      <c r="D5" s="39">
        <v>1</v>
      </c>
      <c r="E5" s="2">
        <v>15</v>
      </c>
      <c r="F5" s="5">
        <v>45958</v>
      </c>
      <c r="G5" s="2" t="s">
        <v>23</v>
      </c>
      <c r="H5" s="43" t="s">
        <v>24</v>
      </c>
      <c r="I5" s="2">
        <v>15</v>
      </c>
      <c r="J5" s="2"/>
      <c r="K5" s="2"/>
      <c r="L5" s="2"/>
      <c r="M5" s="18"/>
      <c r="N5" s="44" t="s">
        <v>83</v>
      </c>
    </row>
    <row r="6" spans="1:15" x14ac:dyDescent="0.3">
      <c r="A6" s="3">
        <v>45926</v>
      </c>
      <c r="B6" s="4" t="s">
        <v>25</v>
      </c>
      <c r="C6" s="38" t="s">
        <v>22</v>
      </c>
      <c r="D6" s="39">
        <v>2</v>
      </c>
      <c r="E6" s="2">
        <v>15</v>
      </c>
      <c r="F6" s="5">
        <v>45958</v>
      </c>
      <c r="G6" s="2" t="s">
        <v>23</v>
      </c>
      <c r="H6" s="43">
        <v>7.1</v>
      </c>
      <c r="I6" s="2">
        <v>15</v>
      </c>
      <c r="J6" s="2"/>
      <c r="K6" s="2"/>
      <c r="L6" s="2"/>
      <c r="M6" s="18"/>
      <c r="N6" s="44" t="s">
        <v>83</v>
      </c>
    </row>
    <row r="7" spans="1:15" x14ac:dyDescent="0.3">
      <c r="A7" s="3">
        <v>45926</v>
      </c>
      <c r="B7" s="4" t="s">
        <v>26</v>
      </c>
      <c r="C7" s="38" t="s">
        <v>22</v>
      </c>
      <c r="D7" s="39">
        <v>3</v>
      </c>
      <c r="E7" s="2">
        <v>15</v>
      </c>
      <c r="F7" s="5">
        <v>45958</v>
      </c>
      <c r="G7" s="2" t="s">
        <v>23</v>
      </c>
      <c r="H7" s="43">
        <v>8.9700000000000006</v>
      </c>
      <c r="I7" s="2">
        <v>15</v>
      </c>
      <c r="J7" s="2"/>
      <c r="K7" s="2"/>
      <c r="L7" s="2"/>
      <c r="M7" s="18"/>
      <c r="N7" s="44" t="s">
        <v>83</v>
      </c>
    </row>
    <row r="8" spans="1:15" x14ac:dyDescent="0.3">
      <c r="A8" s="6">
        <v>45931</v>
      </c>
      <c r="B8" s="7" t="s">
        <v>27</v>
      </c>
      <c r="C8" s="40" t="s">
        <v>28</v>
      </c>
      <c r="D8" s="41">
        <v>4</v>
      </c>
      <c r="E8" s="2">
        <v>15</v>
      </c>
      <c r="F8" s="5">
        <v>45958</v>
      </c>
      <c r="G8" s="2" t="s">
        <v>23</v>
      </c>
      <c r="H8" s="43">
        <v>5.35</v>
      </c>
      <c r="I8" s="2">
        <v>15</v>
      </c>
      <c r="J8" s="2"/>
      <c r="K8" s="2"/>
      <c r="L8" s="2"/>
      <c r="M8" s="18"/>
      <c r="N8" s="44" t="s">
        <v>83</v>
      </c>
    </row>
    <row r="9" spans="1:15" x14ac:dyDescent="0.3">
      <c r="A9" s="6">
        <v>45931</v>
      </c>
      <c r="B9" s="7" t="s">
        <v>29</v>
      </c>
      <c r="C9" s="40" t="s">
        <v>28</v>
      </c>
      <c r="D9" s="41">
        <v>5</v>
      </c>
      <c r="E9" s="2">
        <v>15</v>
      </c>
      <c r="F9" s="5">
        <v>45958</v>
      </c>
      <c r="G9" s="2" t="s">
        <v>23</v>
      </c>
      <c r="H9" s="2">
        <v>9.4499999999999993</v>
      </c>
      <c r="I9" s="2">
        <v>15</v>
      </c>
      <c r="J9" s="2"/>
      <c r="K9" s="2"/>
      <c r="L9" s="2"/>
      <c r="M9" s="18"/>
      <c r="N9" s="36"/>
      <c r="O9" t="s">
        <v>83</v>
      </c>
    </row>
    <row r="10" spans="1:15" x14ac:dyDescent="0.3">
      <c r="A10" s="6">
        <v>45931</v>
      </c>
      <c r="B10" s="7" t="s">
        <v>30</v>
      </c>
      <c r="C10" s="40" t="s">
        <v>28</v>
      </c>
      <c r="D10" s="41">
        <v>6</v>
      </c>
      <c r="E10" s="2">
        <v>15</v>
      </c>
      <c r="F10" s="5">
        <v>45958</v>
      </c>
      <c r="G10" s="2" t="s">
        <v>23</v>
      </c>
      <c r="H10" s="2">
        <v>5.3</v>
      </c>
      <c r="I10" s="2">
        <v>15</v>
      </c>
      <c r="J10" s="2"/>
      <c r="K10" s="2"/>
      <c r="L10" s="2"/>
      <c r="M10" s="18"/>
      <c r="N10" s="36"/>
      <c r="O10" t="s">
        <v>83</v>
      </c>
    </row>
    <row r="11" spans="1:15" x14ac:dyDescent="0.3">
      <c r="A11" s="6">
        <v>45931</v>
      </c>
      <c r="B11" s="7" t="s">
        <v>31</v>
      </c>
      <c r="C11" s="40" t="s">
        <v>32</v>
      </c>
      <c r="D11" s="41">
        <v>7</v>
      </c>
      <c r="E11" s="2">
        <v>15</v>
      </c>
      <c r="F11" s="5">
        <v>45958</v>
      </c>
      <c r="G11" s="2" t="s">
        <v>23</v>
      </c>
      <c r="H11" s="2">
        <v>2.95</v>
      </c>
      <c r="I11" s="2">
        <v>15</v>
      </c>
      <c r="J11" s="2"/>
      <c r="K11" s="2"/>
      <c r="L11" s="2"/>
      <c r="M11" s="18"/>
      <c r="N11" s="36"/>
      <c r="O11" t="s">
        <v>83</v>
      </c>
    </row>
    <row r="12" spans="1:15" x14ac:dyDescent="0.3">
      <c r="A12" s="6">
        <v>45931</v>
      </c>
      <c r="B12" s="7" t="s">
        <v>33</v>
      </c>
      <c r="C12" s="40" t="s">
        <v>32</v>
      </c>
      <c r="D12" s="41">
        <v>8</v>
      </c>
      <c r="E12" s="2">
        <v>15</v>
      </c>
      <c r="F12" s="5">
        <v>45958</v>
      </c>
      <c r="G12" s="2" t="s">
        <v>23</v>
      </c>
      <c r="H12" s="2">
        <v>6.14</v>
      </c>
      <c r="I12" s="2">
        <v>15</v>
      </c>
      <c r="J12" s="2"/>
      <c r="K12" s="2"/>
      <c r="L12" s="2"/>
      <c r="M12" s="18"/>
      <c r="N12" s="36"/>
      <c r="O12" t="s">
        <v>83</v>
      </c>
    </row>
    <row r="13" spans="1:15" x14ac:dyDescent="0.3">
      <c r="A13" s="6">
        <v>45931</v>
      </c>
      <c r="B13" s="7" t="s">
        <v>34</v>
      </c>
      <c r="C13" s="40" t="s">
        <v>32</v>
      </c>
      <c r="D13" s="41">
        <v>9</v>
      </c>
      <c r="E13" s="2">
        <v>15</v>
      </c>
      <c r="F13" s="5">
        <v>45958</v>
      </c>
      <c r="G13" s="2" t="s">
        <v>23</v>
      </c>
      <c r="H13" s="43">
        <v>15.8</v>
      </c>
      <c r="I13" s="8" t="s">
        <v>35</v>
      </c>
      <c r="J13" s="42">
        <f>L1*L2/H13</f>
        <v>9.4936708860759484</v>
      </c>
      <c r="K13" s="42">
        <f>L13-J13</f>
        <v>5.5063291139240516</v>
      </c>
      <c r="L13" s="2">
        <v>15</v>
      </c>
      <c r="M13" s="18"/>
      <c r="N13" s="44" t="s">
        <v>83</v>
      </c>
    </row>
    <row r="14" spans="1:15" x14ac:dyDescent="0.3">
      <c r="A14" s="6">
        <v>45931</v>
      </c>
      <c r="B14" s="7" t="s">
        <v>36</v>
      </c>
      <c r="C14" s="40" t="s">
        <v>37</v>
      </c>
      <c r="D14" s="41">
        <v>10</v>
      </c>
      <c r="E14" s="2">
        <v>15</v>
      </c>
      <c r="F14" s="5">
        <v>45958</v>
      </c>
      <c r="G14" s="2" t="s">
        <v>23</v>
      </c>
      <c r="H14" s="2">
        <v>9.68</v>
      </c>
      <c r="I14" s="2">
        <v>15</v>
      </c>
      <c r="J14" s="2"/>
      <c r="K14" s="2"/>
      <c r="L14" s="2"/>
      <c r="M14" s="18"/>
      <c r="N14" s="36"/>
      <c r="O14" t="s">
        <v>83</v>
      </c>
    </row>
    <row r="15" spans="1:15" x14ac:dyDescent="0.3">
      <c r="A15" s="6">
        <v>45931</v>
      </c>
      <c r="B15" s="7" t="s">
        <v>38</v>
      </c>
      <c r="C15" s="40" t="s">
        <v>37</v>
      </c>
      <c r="D15" s="41">
        <v>11</v>
      </c>
      <c r="E15" s="2">
        <v>15</v>
      </c>
      <c r="F15" s="5">
        <v>45958</v>
      </c>
      <c r="G15" s="2" t="s">
        <v>23</v>
      </c>
      <c r="H15" s="2">
        <v>5.59</v>
      </c>
      <c r="I15" s="2">
        <v>15</v>
      </c>
      <c r="J15" s="2"/>
      <c r="K15" s="2"/>
      <c r="L15" s="2"/>
      <c r="M15" s="18"/>
      <c r="N15" s="36"/>
      <c r="O15" t="s">
        <v>83</v>
      </c>
    </row>
    <row r="16" spans="1:15" x14ac:dyDescent="0.3">
      <c r="A16" s="6">
        <v>45931</v>
      </c>
      <c r="B16" s="7" t="s">
        <v>39</v>
      </c>
      <c r="C16" s="40" t="s">
        <v>37</v>
      </c>
      <c r="D16" s="41">
        <v>12</v>
      </c>
      <c r="E16" s="2">
        <v>15</v>
      </c>
      <c r="F16" s="5">
        <v>45958</v>
      </c>
      <c r="G16" s="2" t="s">
        <v>23</v>
      </c>
      <c r="H16" s="2">
        <v>8.6300000000000008</v>
      </c>
      <c r="I16" s="2">
        <v>15</v>
      </c>
      <c r="J16" s="2"/>
      <c r="K16" s="2"/>
      <c r="L16" s="2"/>
      <c r="M16" s="18"/>
      <c r="N16" s="36"/>
      <c r="O16" t="s">
        <v>83</v>
      </c>
    </row>
    <row r="17" spans="1:15" x14ac:dyDescent="0.3">
      <c r="A17" s="6">
        <v>45931</v>
      </c>
      <c r="B17" s="7" t="s">
        <v>40</v>
      </c>
      <c r="C17" s="40" t="s">
        <v>41</v>
      </c>
      <c r="D17" s="41">
        <v>13</v>
      </c>
      <c r="E17" s="2">
        <v>15</v>
      </c>
      <c r="F17" s="5">
        <v>45958</v>
      </c>
      <c r="G17" s="2" t="s">
        <v>23</v>
      </c>
      <c r="H17" s="2">
        <v>5.87</v>
      </c>
      <c r="I17" s="2">
        <v>15</v>
      </c>
      <c r="J17" s="2"/>
      <c r="K17" s="2"/>
      <c r="L17" s="2"/>
      <c r="M17" s="18"/>
      <c r="N17" s="36"/>
      <c r="O17" t="s">
        <v>83</v>
      </c>
    </row>
    <row r="18" spans="1:15" x14ac:dyDescent="0.3">
      <c r="A18" s="6">
        <v>45931</v>
      </c>
      <c r="B18" s="7" t="s">
        <v>42</v>
      </c>
      <c r="C18" s="40" t="s">
        <v>41</v>
      </c>
      <c r="D18" s="41">
        <v>14</v>
      </c>
      <c r="E18" s="2">
        <v>15</v>
      </c>
      <c r="F18" s="5">
        <v>45958</v>
      </c>
      <c r="G18" s="2" t="s">
        <v>23</v>
      </c>
      <c r="H18" s="2">
        <v>3.62</v>
      </c>
      <c r="I18" s="2">
        <v>15</v>
      </c>
      <c r="J18" s="2"/>
      <c r="K18" s="2"/>
      <c r="L18" s="2"/>
      <c r="M18" s="18"/>
      <c r="N18" s="36"/>
      <c r="O18" t="s">
        <v>83</v>
      </c>
    </row>
    <row r="19" spans="1:15" x14ac:dyDescent="0.3">
      <c r="A19" s="6">
        <v>45931</v>
      </c>
      <c r="B19" s="7" t="s">
        <v>43</v>
      </c>
      <c r="C19" s="40" t="s">
        <v>41</v>
      </c>
      <c r="D19" s="41">
        <v>15</v>
      </c>
      <c r="E19" s="2">
        <v>15</v>
      </c>
      <c r="F19" s="5">
        <v>45959</v>
      </c>
      <c r="G19" s="2" t="s">
        <v>23</v>
      </c>
      <c r="H19" s="2">
        <v>8.17</v>
      </c>
      <c r="I19" s="2">
        <v>15</v>
      </c>
      <c r="J19" s="2"/>
      <c r="K19" s="2"/>
      <c r="L19" s="2"/>
      <c r="M19" s="18"/>
      <c r="N19" s="36"/>
      <c r="O19" t="s">
        <v>83</v>
      </c>
    </row>
    <row r="20" spans="1:15" x14ac:dyDescent="0.3">
      <c r="A20" s="9">
        <v>45937</v>
      </c>
      <c r="B20" s="10" t="s">
        <v>44</v>
      </c>
      <c r="C20" s="11" t="s">
        <v>28</v>
      </c>
      <c r="D20" s="12">
        <v>16</v>
      </c>
      <c r="E20" s="2">
        <v>15</v>
      </c>
      <c r="F20" s="5">
        <v>45959</v>
      </c>
      <c r="G20" s="2" t="s">
        <v>23</v>
      </c>
      <c r="H20" s="2">
        <v>5.0199999999999996</v>
      </c>
      <c r="I20" s="2">
        <v>15</v>
      </c>
      <c r="J20" s="2"/>
      <c r="K20" s="2"/>
      <c r="L20" s="2"/>
      <c r="M20" s="18"/>
      <c r="N20" s="36"/>
      <c r="O20" t="s">
        <v>83</v>
      </c>
    </row>
    <row r="21" spans="1:15" x14ac:dyDescent="0.3">
      <c r="A21" s="9">
        <v>45937</v>
      </c>
      <c r="B21" s="10" t="s">
        <v>45</v>
      </c>
      <c r="C21" s="11" t="s">
        <v>28</v>
      </c>
      <c r="D21" s="12">
        <v>17</v>
      </c>
      <c r="E21" s="2">
        <v>15</v>
      </c>
      <c r="F21" s="5">
        <v>45959</v>
      </c>
      <c r="G21" s="2" t="s">
        <v>23</v>
      </c>
      <c r="H21" s="2">
        <v>7.11</v>
      </c>
      <c r="I21" s="2">
        <v>15</v>
      </c>
      <c r="J21" s="2"/>
      <c r="K21" s="2"/>
      <c r="L21" s="2"/>
      <c r="M21" s="18"/>
      <c r="N21" s="36"/>
      <c r="O21" t="s">
        <v>83</v>
      </c>
    </row>
    <row r="22" spans="1:15" x14ac:dyDescent="0.3">
      <c r="A22" s="9">
        <v>45937</v>
      </c>
      <c r="B22" s="10" t="s">
        <v>46</v>
      </c>
      <c r="C22" s="11" t="s">
        <v>28</v>
      </c>
      <c r="D22" s="12">
        <v>18</v>
      </c>
      <c r="E22" s="2">
        <v>15</v>
      </c>
      <c r="F22" s="5">
        <v>45959</v>
      </c>
      <c r="G22" s="2" t="s">
        <v>23</v>
      </c>
      <c r="H22" s="2">
        <v>9.2200000000000006</v>
      </c>
      <c r="I22" s="2">
        <v>15</v>
      </c>
      <c r="J22" s="2"/>
      <c r="K22" s="2"/>
      <c r="L22" s="2"/>
      <c r="M22" s="18"/>
      <c r="N22" s="36"/>
      <c r="O22" t="s">
        <v>83</v>
      </c>
    </row>
    <row r="23" spans="1:15" x14ac:dyDescent="0.3">
      <c r="A23" s="9">
        <v>45937</v>
      </c>
      <c r="B23" s="10" t="s">
        <v>47</v>
      </c>
      <c r="C23" s="11" t="s">
        <v>32</v>
      </c>
      <c r="D23" s="12">
        <v>19</v>
      </c>
      <c r="E23" s="2">
        <v>15</v>
      </c>
      <c r="F23" s="5">
        <v>45959</v>
      </c>
      <c r="G23" s="2" t="s">
        <v>23</v>
      </c>
      <c r="H23" s="2">
        <v>4.53</v>
      </c>
      <c r="I23" s="2">
        <v>15</v>
      </c>
      <c r="J23" s="2"/>
      <c r="K23" s="2"/>
      <c r="L23" s="18"/>
      <c r="M23" s="18"/>
      <c r="N23" s="36"/>
      <c r="O23" t="s">
        <v>83</v>
      </c>
    </row>
    <row r="24" spans="1:15" x14ac:dyDescent="0.3">
      <c r="A24" s="9">
        <v>45937</v>
      </c>
      <c r="B24" s="10" t="s">
        <v>48</v>
      </c>
      <c r="C24" s="11" t="s">
        <v>32</v>
      </c>
      <c r="D24" s="12">
        <v>20</v>
      </c>
      <c r="E24" s="2">
        <v>15</v>
      </c>
      <c r="F24" s="5">
        <v>45959</v>
      </c>
      <c r="G24" s="2" t="s">
        <v>23</v>
      </c>
      <c r="H24" s="43">
        <v>19</v>
      </c>
      <c r="I24" s="8" t="s">
        <v>35</v>
      </c>
      <c r="J24" s="42">
        <f>L1*L2/H24</f>
        <v>7.8947368421052628</v>
      </c>
      <c r="K24" s="42">
        <f>L24-J24</f>
        <v>7.1052631578947372</v>
      </c>
      <c r="L24" s="2">
        <v>15</v>
      </c>
      <c r="M24" s="18"/>
      <c r="N24" s="44" t="s">
        <v>83</v>
      </c>
    </row>
    <row r="25" spans="1:15" x14ac:dyDescent="0.3">
      <c r="A25" s="9">
        <v>45937</v>
      </c>
      <c r="B25" s="10" t="s">
        <v>49</v>
      </c>
      <c r="C25" s="11" t="s">
        <v>32</v>
      </c>
      <c r="D25" s="12">
        <v>21</v>
      </c>
      <c r="E25" s="2">
        <v>15</v>
      </c>
      <c r="F25" s="5">
        <v>45959</v>
      </c>
      <c r="G25" s="2" t="s">
        <v>23</v>
      </c>
      <c r="H25" s="2">
        <v>8.36</v>
      </c>
      <c r="I25" s="2">
        <v>15</v>
      </c>
      <c r="J25" s="2"/>
      <c r="K25" s="2"/>
      <c r="L25" s="2"/>
      <c r="M25" s="18"/>
      <c r="N25" s="36"/>
      <c r="O25" t="s">
        <v>83</v>
      </c>
    </row>
    <row r="26" spans="1:15" x14ac:dyDescent="0.3">
      <c r="A26" s="9">
        <v>45937</v>
      </c>
      <c r="B26" s="10" t="s">
        <v>50</v>
      </c>
      <c r="C26" s="11" t="s">
        <v>37</v>
      </c>
      <c r="D26" s="12">
        <v>22</v>
      </c>
      <c r="E26" s="2">
        <v>15</v>
      </c>
      <c r="F26" s="5">
        <v>45959</v>
      </c>
      <c r="G26" s="2" t="s">
        <v>23</v>
      </c>
      <c r="H26" s="2">
        <v>2.96</v>
      </c>
      <c r="I26" s="2">
        <v>15</v>
      </c>
      <c r="J26" s="2"/>
      <c r="K26" s="2"/>
      <c r="L26" s="2"/>
      <c r="M26" s="18"/>
      <c r="N26" s="36"/>
      <c r="O26" t="s">
        <v>83</v>
      </c>
    </row>
    <row r="27" spans="1:15" x14ac:dyDescent="0.3">
      <c r="A27" s="9">
        <v>45937</v>
      </c>
      <c r="B27" s="10" t="s">
        <v>51</v>
      </c>
      <c r="C27" s="11" t="s">
        <v>37</v>
      </c>
      <c r="D27" s="12">
        <v>23</v>
      </c>
      <c r="E27" s="2">
        <v>15</v>
      </c>
      <c r="F27" s="5">
        <v>45959</v>
      </c>
      <c r="G27" s="2" t="s">
        <v>23</v>
      </c>
      <c r="H27" s="43">
        <v>21.6</v>
      </c>
      <c r="I27" s="8" t="s">
        <v>35</v>
      </c>
      <c r="J27" s="42">
        <f>L1*L2/H27</f>
        <v>6.9444444444444438</v>
      </c>
      <c r="K27" s="42">
        <f>L27-J27</f>
        <v>8.0555555555555571</v>
      </c>
      <c r="L27" s="2">
        <v>15</v>
      </c>
      <c r="M27" s="18"/>
      <c r="N27" s="44" t="s">
        <v>83</v>
      </c>
    </row>
    <row r="28" spans="1:15" x14ac:dyDescent="0.3">
      <c r="A28" s="9">
        <v>45937</v>
      </c>
      <c r="B28" s="10" t="s">
        <v>52</v>
      </c>
      <c r="C28" s="11" t="s">
        <v>37</v>
      </c>
      <c r="D28" s="12">
        <v>24</v>
      </c>
      <c r="E28" s="2">
        <v>15</v>
      </c>
      <c r="F28" s="5">
        <v>45959</v>
      </c>
      <c r="G28" s="2" t="s">
        <v>23</v>
      </c>
      <c r="H28" s="43">
        <v>25.3</v>
      </c>
      <c r="I28" s="8" t="s">
        <v>35</v>
      </c>
      <c r="J28" s="42">
        <f>L1*L2/H28</f>
        <v>5.928853754940711</v>
      </c>
      <c r="K28" s="42">
        <f>L28-J28</f>
        <v>9.071146245059289</v>
      </c>
      <c r="L28" s="2">
        <v>15</v>
      </c>
      <c r="M28" s="18"/>
      <c r="N28" s="44" t="s">
        <v>83</v>
      </c>
    </row>
    <row r="29" spans="1:15" x14ac:dyDescent="0.3">
      <c r="A29" s="9">
        <v>45937</v>
      </c>
      <c r="B29" s="10" t="s">
        <v>53</v>
      </c>
      <c r="C29" s="11" t="s">
        <v>41</v>
      </c>
      <c r="D29" s="12">
        <v>25</v>
      </c>
      <c r="E29" s="2">
        <v>15</v>
      </c>
      <c r="F29" s="5">
        <v>45959</v>
      </c>
      <c r="G29" s="2" t="s">
        <v>23</v>
      </c>
      <c r="H29" s="2">
        <v>17.2</v>
      </c>
      <c r="I29" s="8" t="s">
        <v>35</v>
      </c>
      <c r="J29" s="42">
        <f>L1*L2/H29</f>
        <v>8.720930232558139</v>
      </c>
      <c r="K29" s="42">
        <f>L29-J29</f>
        <v>6.279069767441861</v>
      </c>
      <c r="L29" s="2">
        <v>15</v>
      </c>
      <c r="M29" s="18"/>
      <c r="N29" s="36"/>
      <c r="O29" t="s">
        <v>83</v>
      </c>
    </row>
    <row r="30" spans="1:15" x14ac:dyDescent="0.3">
      <c r="A30" s="9">
        <v>45937</v>
      </c>
      <c r="B30" s="10" t="s">
        <v>54</v>
      </c>
      <c r="C30" s="11" t="s">
        <v>41</v>
      </c>
      <c r="D30" s="12">
        <v>26</v>
      </c>
      <c r="E30" s="2">
        <v>15</v>
      </c>
      <c r="F30" s="5">
        <v>45959</v>
      </c>
      <c r="G30" s="2" t="s">
        <v>23</v>
      </c>
      <c r="H30" s="2">
        <v>31.4</v>
      </c>
      <c r="I30" s="8" t="s">
        <v>35</v>
      </c>
      <c r="J30" s="42">
        <f>L1*L2/H30</f>
        <v>4.7770700636942678</v>
      </c>
      <c r="K30" s="42">
        <f>L30-J30</f>
        <v>10.222929936305732</v>
      </c>
      <c r="L30" s="2">
        <v>15</v>
      </c>
      <c r="M30" s="18"/>
      <c r="N30" s="36"/>
      <c r="O30" t="s">
        <v>83</v>
      </c>
    </row>
    <row r="31" spans="1:15" x14ac:dyDescent="0.3">
      <c r="A31" s="9">
        <v>45937</v>
      </c>
      <c r="B31" s="10" t="s">
        <v>55</v>
      </c>
      <c r="C31" s="11" t="s">
        <v>41</v>
      </c>
      <c r="D31" s="12">
        <v>27</v>
      </c>
      <c r="E31" s="2">
        <v>15</v>
      </c>
      <c r="F31" s="5">
        <v>45959</v>
      </c>
      <c r="G31" s="2" t="s">
        <v>23</v>
      </c>
      <c r="H31" s="2">
        <v>16</v>
      </c>
      <c r="I31" s="8" t="s">
        <v>35</v>
      </c>
      <c r="J31" s="42">
        <f>L1*L2/H31</f>
        <v>9.375</v>
      </c>
      <c r="K31" s="42">
        <f>L31-J31</f>
        <v>5.625</v>
      </c>
      <c r="L31" s="2">
        <v>15</v>
      </c>
      <c r="M31" s="18"/>
      <c r="N31" s="36"/>
      <c r="O31" t="s">
        <v>83</v>
      </c>
    </row>
    <row r="32" spans="1:15" x14ac:dyDescent="0.3">
      <c r="A32" s="5">
        <v>45943</v>
      </c>
      <c r="B32" s="2" t="s">
        <v>56</v>
      </c>
      <c r="C32" s="18" t="s">
        <v>28</v>
      </c>
      <c r="D32" s="19">
        <v>28</v>
      </c>
      <c r="E32" s="2">
        <v>15</v>
      </c>
      <c r="F32" s="5">
        <v>45959</v>
      </c>
      <c r="G32" s="2" t="s">
        <v>23</v>
      </c>
      <c r="H32" s="2">
        <v>3.9</v>
      </c>
      <c r="I32" s="2">
        <v>15</v>
      </c>
      <c r="J32" s="42"/>
      <c r="K32" s="2"/>
      <c r="L32" s="2"/>
      <c r="M32" s="18"/>
      <c r="N32" s="36"/>
      <c r="O32" t="s">
        <v>83</v>
      </c>
    </row>
    <row r="33" spans="1:15" ht="16" x14ac:dyDescent="0.2">
      <c r="A33" s="13">
        <v>45943</v>
      </c>
      <c r="B33" s="14" t="s">
        <v>57</v>
      </c>
      <c r="C33" s="15" t="s">
        <v>28</v>
      </c>
      <c r="D33" s="17" t="s">
        <v>58</v>
      </c>
      <c r="E33" s="17" t="s">
        <v>58</v>
      </c>
      <c r="F33" s="16"/>
      <c r="G33" s="17" t="s">
        <v>58</v>
      </c>
      <c r="H33" s="17" t="s">
        <v>59</v>
      </c>
      <c r="I33" s="17" t="s">
        <v>59</v>
      </c>
      <c r="J33" s="42"/>
      <c r="K33" s="2"/>
      <c r="L33" s="2"/>
      <c r="M33" s="18"/>
      <c r="N33" s="36"/>
      <c r="O33" t="s">
        <v>83</v>
      </c>
    </row>
    <row r="34" spans="1:15" x14ac:dyDescent="0.3">
      <c r="A34" s="5">
        <v>45943</v>
      </c>
      <c r="B34" s="2" t="s">
        <v>60</v>
      </c>
      <c r="C34" s="18" t="s">
        <v>28</v>
      </c>
      <c r="D34" s="19">
        <v>29</v>
      </c>
      <c r="E34" s="2">
        <v>15</v>
      </c>
      <c r="F34" s="5">
        <v>45959</v>
      </c>
      <c r="G34" s="2" t="s">
        <v>23</v>
      </c>
      <c r="H34" s="2">
        <v>2</v>
      </c>
      <c r="I34" s="2">
        <v>15</v>
      </c>
      <c r="J34" s="42"/>
      <c r="K34" s="2"/>
      <c r="L34" s="2"/>
      <c r="M34" s="18"/>
      <c r="N34" s="36"/>
      <c r="O34" t="s">
        <v>83</v>
      </c>
    </row>
    <row r="35" spans="1:15" x14ac:dyDescent="0.3">
      <c r="A35" s="5">
        <v>45943</v>
      </c>
      <c r="B35" s="2" t="s">
        <v>61</v>
      </c>
      <c r="C35" s="18" t="s">
        <v>32</v>
      </c>
      <c r="D35" s="19">
        <v>30</v>
      </c>
      <c r="E35" s="2">
        <v>15</v>
      </c>
      <c r="F35" s="5">
        <v>45959</v>
      </c>
      <c r="G35" s="2" t="s">
        <v>23</v>
      </c>
      <c r="H35" s="2">
        <v>13.1</v>
      </c>
      <c r="I35" s="8" t="s">
        <v>35</v>
      </c>
      <c r="J35" s="42">
        <f>L1*L2/H35</f>
        <v>11.450381679389313</v>
      </c>
      <c r="K35" s="42">
        <f>L35-J35</f>
        <v>3.5496183206106871</v>
      </c>
      <c r="L35" s="2">
        <v>15</v>
      </c>
      <c r="M35" s="18"/>
      <c r="N35" s="36"/>
      <c r="O35" t="s">
        <v>83</v>
      </c>
    </row>
    <row r="36" spans="1:15" x14ac:dyDescent="0.3">
      <c r="A36" s="20">
        <v>45943</v>
      </c>
      <c r="B36" s="21" t="s">
        <v>62</v>
      </c>
      <c r="C36" s="22" t="s">
        <v>32</v>
      </c>
      <c r="D36" s="23">
        <v>31</v>
      </c>
      <c r="E36" s="21">
        <v>4</v>
      </c>
      <c r="F36" s="5">
        <v>45959</v>
      </c>
      <c r="G36" s="2" t="s">
        <v>23</v>
      </c>
      <c r="H36" s="2">
        <v>8.15</v>
      </c>
      <c r="I36" s="2">
        <v>15</v>
      </c>
      <c r="J36" s="42"/>
      <c r="K36" s="2"/>
      <c r="L36" s="2"/>
      <c r="M36" s="18"/>
      <c r="N36" s="36"/>
      <c r="O36" t="s">
        <v>83</v>
      </c>
    </row>
    <row r="37" spans="1:15" x14ac:dyDescent="0.3">
      <c r="A37" s="5">
        <v>45943</v>
      </c>
      <c r="B37" s="2" t="s">
        <v>63</v>
      </c>
      <c r="C37" s="18" t="s">
        <v>32</v>
      </c>
      <c r="D37" s="19">
        <v>32</v>
      </c>
      <c r="E37" s="2">
        <v>15</v>
      </c>
      <c r="F37" s="5">
        <v>45959</v>
      </c>
      <c r="G37" s="2" t="s">
        <v>23</v>
      </c>
      <c r="H37" s="2">
        <v>9.99</v>
      </c>
      <c r="I37" s="2">
        <v>15</v>
      </c>
      <c r="J37" s="42"/>
      <c r="K37" s="2"/>
      <c r="L37" s="2"/>
      <c r="M37" s="18"/>
      <c r="N37" s="36"/>
      <c r="O37" t="s">
        <v>83</v>
      </c>
    </row>
    <row r="38" spans="1:15" x14ac:dyDescent="0.3">
      <c r="A38" s="20">
        <v>45943</v>
      </c>
      <c r="B38" s="21" t="s">
        <v>64</v>
      </c>
      <c r="C38" s="22" t="s">
        <v>37</v>
      </c>
      <c r="D38" s="23">
        <v>33</v>
      </c>
      <c r="E38" s="21">
        <v>10</v>
      </c>
      <c r="F38" s="5">
        <v>45959</v>
      </c>
      <c r="G38" s="2" t="s">
        <v>23</v>
      </c>
      <c r="H38" s="2">
        <v>14.7</v>
      </c>
      <c r="I38" s="8" t="s">
        <v>35</v>
      </c>
      <c r="J38" s="42">
        <f>L1*L2/H38</f>
        <v>10.204081632653061</v>
      </c>
      <c r="K38" s="42">
        <f>L38-J38</f>
        <v>4.795918367346939</v>
      </c>
      <c r="L38" s="2">
        <v>15</v>
      </c>
      <c r="M38" s="18"/>
      <c r="N38" s="36"/>
      <c r="O38" t="s">
        <v>83</v>
      </c>
    </row>
    <row r="39" spans="1:15" x14ac:dyDescent="0.3">
      <c r="A39" s="5">
        <v>45943</v>
      </c>
      <c r="B39" s="2" t="s">
        <v>65</v>
      </c>
      <c r="C39" s="18" t="s">
        <v>37</v>
      </c>
      <c r="D39" s="19">
        <v>34</v>
      </c>
      <c r="E39" s="2">
        <v>15</v>
      </c>
      <c r="F39" s="5">
        <v>45959</v>
      </c>
      <c r="G39" s="2" t="s">
        <v>23</v>
      </c>
      <c r="H39" s="2">
        <v>32.299999999999997</v>
      </c>
      <c r="I39" s="8" t="s">
        <v>35</v>
      </c>
      <c r="J39" s="42">
        <f>L1*L2/H39</f>
        <v>4.643962848297214</v>
      </c>
      <c r="K39" s="42">
        <f>L39-J39</f>
        <v>10.356037151702786</v>
      </c>
      <c r="L39" s="2">
        <v>15</v>
      </c>
      <c r="M39" s="18"/>
      <c r="N39" s="36"/>
      <c r="O39" t="s">
        <v>83</v>
      </c>
    </row>
    <row r="40" spans="1:15" x14ac:dyDescent="0.3">
      <c r="A40" s="20">
        <v>45943</v>
      </c>
      <c r="B40" s="21" t="s">
        <v>66</v>
      </c>
      <c r="C40" s="22" t="s">
        <v>37</v>
      </c>
      <c r="D40" s="23">
        <v>35</v>
      </c>
      <c r="E40" s="21">
        <v>4</v>
      </c>
      <c r="F40" s="5">
        <v>45959</v>
      </c>
      <c r="G40" s="2" t="s">
        <v>23</v>
      </c>
      <c r="H40" s="2">
        <v>8.67</v>
      </c>
      <c r="I40" s="2">
        <v>15</v>
      </c>
      <c r="J40" s="42"/>
      <c r="K40" s="2"/>
      <c r="L40" s="2"/>
      <c r="M40" s="18"/>
      <c r="N40" s="36"/>
      <c r="O40" t="s">
        <v>83</v>
      </c>
    </row>
    <row r="41" spans="1:15" x14ac:dyDescent="0.3">
      <c r="A41" s="20">
        <v>45943</v>
      </c>
      <c r="B41" s="21" t="s">
        <v>67</v>
      </c>
      <c r="C41" s="22" t="s">
        <v>41</v>
      </c>
      <c r="D41" s="23">
        <v>36</v>
      </c>
      <c r="E41" s="21">
        <v>3</v>
      </c>
      <c r="F41" s="5">
        <v>45959</v>
      </c>
      <c r="G41" s="2" t="s">
        <v>23</v>
      </c>
      <c r="H41" s="2">
        <v>20.5</v>
      </c>
      <c r="I41" s="8" t="s">
        <v>35</v>
      </c>
      <c r="J41" s="42">
        <f>L1*L2/H41</f>
        <v>7.3170731707317076</v>
      </c>
      <c r="K41" s="42">
        <f>L41-J41</f>
        <v>7.6829268292682924</v>
      </c>
      <c r="L41" s="2">
        <v>15</v>
      </c>
      <c r="M41" s="18"/>
      <c r="N41" s="36"/>
      <c r="O41" t="s">
        <v>83</v>
      </c>
    </row>
    <row r="42" spans="1:15" x14ac:dyDescent="0.3">
      <c r="A42" s="20">
        <v>45943</v>
      </c>
      <c r="B42" s="21" t="s">
        <v>68</v>
      </c>
      <c r="C42" s="22" t="s">
        <v>41</v>
      </c>
      <c r="D42" s="23">
        <v>37</v>
      </c>
      <c r="E42" s="21">
        <v>1</v>
      </c>
      <c r="F42" s="5">
        <v>45960</v>
      </c>
      <c r="G42" s="2" t="s">
        <v>23</v>
      </c>
      <c r="H42" s="2">
        <v>5.41</v>
      </c>
      <c r="I42" s="2">
        <v>15</v>
      </c>
      <c r="J42" s="42"/>
      <c r="K42" s="2"/>
      <c r="L42" s="2"/>
      <c r="M42" s="18"/>
      <c r="N42" s="36"/>
      <c r="O42" t="s">
        <v>83</v>
      </c>
    </row>
    <row r="43" spans="1:15" x14ac:dyDescent="0.3">
      <c r="A43" s="5">
        <v>45943</v>
      </c>
      <c r="B43" s="2" t="s">
        <v>69</v>
      </c>
      <c r="C43" s="18" t="s">
        <v>41</v>
      </c>
      <c r="D43" s="19">
        <v>38</v>
      </c>
      <c r="E43" s="2">
        <v>15</v>
      </c>
      <c r="F43" s="5">
        <v>45960</v>
      </c>
      <c r="G43" s="2" t="s">
        <v>23</v>
      </c>
      <c r="H43" s="2">
        <v>56.4</v>
      </c>
      <c r="I43" s="8" t="s">
        <v>35</v>
      </c>
      <c r="J43" s="42">
        <f>L1*L2/H43</f>
        <v>2.6595744680851063</v>
      </c>
      <c r="K43" s="42">
        <f>L43-J43</f>
        <v>12.340425531914894</v>
      </c>
      <c r="L43" s="2">
        <v>15</v>
      </c>
      <c r="M43" s="18"/>
      <c r="N43" s="36"/>
      <c r="O43" t="s">
        <v>83</v>
      </c>
    </row>
    <row r="44" spans="1:15" x14ac:dyDescent="0.3">
      <c r="A44" s="5">
        <v>45941</v>
      </c>
      <c r="B44" s="2" t="s">
        <v>70</v>
      </c>
      <c r="C44" s="18" t="s">
        <v>22</v>
      </c>
      <c r="D44" s="19">
        <v>39</v>
      </c>
      <c r="E44" s="2">
        <v>6</v>
      </c>
      <c r="F44" s="5">
        <v>45960</v>
      </c>
      <c r="G44" s="2" t="s">
        <v>23</v>
      </c>
      <c r="H44" s="2">
        <v>13.3</v>
      </c>
      <c r="I44" s="8" t="s">
        <v>35</v>
      </c>
      <c r="J44" s="42">
        <f>L1*L2/H44</f>
        <v>11.278195488721805</v>
      </c>
      <c r="K44" s="42">
        <f t="shared" ref="K44" si="0">L44-J44</f>
        <v>3.7218045112781954</v>
      </c>
      <c r="L44" s="2">
        <v>15</v>
      </c>
      <c r="M44" s="18"/>
      <c r="N44" s="36"/>
      <c r="O44" t="s">
        <v>83</v>
      </c>
    </row>
    <row r="45" spans="1:15" x14ac:dyDescent="0.3">
      <c r="A45" s="5">
        <v>45941</v>
      </c>
      <c r="B45" s="2" t="s">
        <v>71</v>
      </c>
      <c r="C45" s="18" t="s">
        <v>22</v>
      </c>
      <c r="D45" s="19">
        <v>40</v>
      </c>
      <c r="E45" s="2">
        <v>6</v>
      </c>
      <c r="F45" s="5">
        <v>45960</v>
      </c>
      <c r="G45" s="2" t="s">
        <v>23</v>
      </c>
      <c r="H45" s="2">
        <v>19.3</v>
      </c>
      <c r="I45" s="8" t="s">
        <v>35</v>
      </c>
      <c r="J45" s="42">
        <f>L1*L2/H45</f>
        <v>7.7720207253886011</v>
      </c>
      <c r="K45" s="42">
        <f>L45-J45</f>
        <v>7.2279792746113989</v>
      </c>
      <c r="L45" s="2">
        <v>15</v>
      </c>
      <c r="M45" s="18"/>
      <c r="N45" s="36"/>
      <c r="O45" t="s">
        <v>83</v>
      </c>
    </row>
    <row r="46" spans="1:15" x14ac:dyDescent="0.3">
      <c r="A46" s="5">
        <v>45941</v>
      </c>
      <c r="B46" s="2" t="s">
        <v>72</v>
      </c>
      <c r="C46" s="18" t="s">
        <v>22</v>
      </c>
      <c r="D46" s="19">
        <v>41</v>
      </c>
      <c r="E46" s="2">
        <v>6</v>
      </c>
      <c r="F46" s="5">
        <v>45960</v>
      </c>
      <c r="G46" s="2" t="s">
        <v>23</v>
      </c>
      <c r="H46" s="2">
        <v>20.6</v>
      </c>
      <c r="I46" s="8" t="s">
        <v>35</v>
      </c>
      <c r="J46" s="42">
        <f>L1*L2/H46</f>
        <v>7.2815533980582519</v>
      </c>
      <c r="K46" s="42">
        <f>L46-J46</f>
        <v>7.7184466019417481</v>
      </c>
      <c r="L46" s="2">
        <v>15</v>
      </c>
      <c r="M46" s="18"/>
      <c r="N46" s="36"/>
      <c r="O46" t="s">
        <v>83</v>
      </c>
    </row>
    <row r="47" spans="1:15" x14ac:dyDescent="0.3">
      <c r="A47" s="5">
        <v>45943</v>
      </c>
      <c r="B47" s="2" t="s">
        <v>73</v>
      </c>
      <c r="C47" s="18" t="s">
        <v>74</v>
      </c>
      <c r="D47" s="19">
        <v>42</v>
      </c>
      <c r="E47" s="2" t="s">
        <v>75</v>
      </c>
      <c r="F47" s="5">
        <v>45960</v>
      </c>
      <c r="G47" s="2" t="s">
        <v>23</v>
      </c>
      <c r="H47" s="2">
        <v>7.01</v>
      </c>
      <c r="I47" s="2">
        <v>15</v>
      </c>
      <c r="J47" s="42"/>
      <c r="K47" s="2"/>
      <c r="L47" s="2"/>
      <c r="M47" s="18"/>
      <c r="N47" s="36"/>
      <c r="O47" t="s">
        <v>83</v>
      </c>
    </row>
    <row r="48" spans="1:15" x14ac:dyDescent="0.3">
      <c r="A48" s="5">
        <v>45943</v>
      </c>
      <c r="B48" s="2" t="s">
        <v>76</v>
      </c>
      <c r="C48" s="18" t="s">
        <v>74</v>
      </c>
      <c r="D48" s="19">
        <v>43</v>
      </c>
      <c r="E48" s="2" t="s">
        <v>75</v>
      </c>
      <c r="F48" s="5">
        <v>45960</v>
      </c>
      <c r="G48" s="2" t="s">
        <v>23</v>
      </c>
      <c r="H48" s="2">
        <v>6.89</v>
      </c>
      <c r="I48" s="2">
        <v>15</v>
      </c>
      <c r="J48" s="42"/>
      <c r="K48" s="2"/>
      <c r="L48" s="2"/>
      <c r="M48" s="18"/>
      <c r="N48" s="36"/>
      <c r="O48" t="s">
        <v>83</v>
      </c>
    </row>
    <row r="49" spans="1:15" x14ac:dyDescent="0.3">
      <c r="A49" s="5">
        <v>45943</v>
      </c>
      <c r="B49" s="2" t="s">
        <v>77</v>
      </c>
      <c r="C49" s="18" t="s">
        <v>74</v>
      </c>
      <c r="D49" s="19">
        <v>44</v>
      </c>
      <c r="E49" s="2" t="s">
        <v>75</v>
      </c>
      <c r="F49" s="5">
        <v>45960</v>
      </c>
      <c r="G49" s="2" t="s">
        <v>23</v>
      </c>
      <c r="H49" s="2">
        <v>15.5</v>
      </c>
      <c r="I49" s="8" t="s">
        <v>35</v>
      </c>
      <c r="J49" s="42">
        <f>L1*L2/H49</f>
        <v>9.67741935483871</v>
      </c>
      <c r="K49" s="42">
        <f>L49-J49</f>
        <v>5.32258064516129</v>
      </c>
      <c r="L49" s="2">
        <v>15</v>
      </c>
      <c r="M49" s="18"/>
      <c r="N49" s="36"/>
      <c r="O49" t="s">
        <v>83</v>
      </c>
    </row>
    <row r="50" spans="1:15" x14ac:dyDescent="0.3">
      <c r="J50" s="24"/>
      <c r="K50" s="24"/>
      <c r="L50" s="24"/>
    </row>
    <row r="51" spans="1:15" x14ac:dyDescent="0.3">
      <c r="J51" s="24"/>
      <c r="K51" s="24"/>
      <c r="L51" s="24"/>
    </row>
    <row r="52" spans="1:15" x14ac:dyDescent="0.3">
      <c r="A52" s="31">
        <v>45941</v>
      </c>
      <c r="B52" s="24" t="s">
        <v>78</v>
      </c>
      <c r="C52" t="s">
        <v>79</v>
      </c>
      <c r="D52" s="32" t="s">
        <v>81</v>
      </c>
      <c r="E52" s="24">
        <v>15</v>
      </c>
      <c r="F52" s="31">
        <v>45950</v>
      </c>
      <c r="G52" s="24" t="s">
        <v>80</v>
      </c>
      <c r="H52" s="24">
        <v>4.38</v>
      </c>
    </row>
    <row r="53" spans="1:15" x14ac:dyDescent="0.3">
      <c r="A53" s="31">
        <v>45941</v>
      </c>
      <c r="B53" s="24" t="s">
        <v>78</v>
      </c>
      <c r="C53" t="s">
        <v>79</v>
      </c>
      <c r="D53" s="32" t="s">
        <v>81</v>
      </c>
      <c r="E53" s="24">
        <v>15</v>
      </c>
      <c r="F53" s="31">
        <v>45950</v>
      </c>
      <c r="G53" s="24" t="s">
        <v>80</v>
      </c>
      <c r="H53" s="24">
        <v>1.26</v>
      </c>
    </row>
    <row r="54" spans="1:15" x14ac:dyDescent="0.3">
      <c r="A54" s="31">
        <v>45941</v>
      </c>
      <c r="B54" s="24" t="s">
        <v>78</v>
      </c>
      <c r="C54" t="s">
        <v>79</v>
      </c>
      <c r="D54" s="32" t="s">
        <v>81</v>
      </c>
      <c r="E54" s="24">
        <v>15</v>
      </c>
      <c r="F54" s="31">
        <v>45950</v>
      </c>
      <c r="G54" s="24" t="s">
        <v>80</v>
      </c>
      <c r="H54" s="24">
        <v>2.75</v>
      </c>
    </row>
    <row r="57" spans="1:15" x14ac:dyDescent="0.3">
      <c r="B57" s="26"/>
    </row>
    <row r="58" spans="1:15" x14ac:dyDescent="0.3">
      <c r="B58" s="30"/>
      <c r="C58" s="24"/>
    </row>
    <row r="59" spans="1:15" x14ac:dyDescent="0.3">
      <c r="B59" s="26"/>
      <c r="C59" s="24"/>
    </row>
    <row r="60" spans="1:15" x14ac:dyDescent="0.3">
      <c r="B60" s="26"/>
      <c r="C60" s="24"/>
    </row>
    <row r="61" spans="1:15" x14ac:dyDescent="0.3">
      <c r="B61" s="26"/>
      <c r="C61" s="24"/>
    </row>
    <row r="62" spans="1:15" x14ac:dyDescent="0.3">
      <c r="C62" s="24"/>
    </row>
    <row r="63" spans="1:15" x14ac:dyDescent="0.3">
      <c r="B63" s="26"/>
      <c r="C63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METADATA_Anuja CAGE Experiment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Shrestha, Anuja (anujas@uidaho.edu)</dc:creator>
  <cp:lastModifiedBy>Shrestha, Anuja (anujas@uidaho.edu)</cp:lastModifiedBy>
  <dcterms:created xsi:type="dcterms:W3CDTF">2025-11-13T00:14:55Z</dcterms:created>
  <dcterms:modified xsi:type="dcterms:W3CDTF">2025-11-20T21:36:06Z</dcterms:modified>
</cp:coreProperties>
</file>